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3e37e09092f390/Desktop/mine assign/excels file/"/>
    </mc:Choice>
  </mc:AlternateContent>
  <xr:revisionPtr revIDLastSave="0" documentId="8_{C4D13F86-9728-4294-8EFA-101F3C5CA2AE}" xr6:coauthVersionLast="47" xr6:coauthVersionMax="47" xr10:uidLastSave="{00000000-0000-0000-0000-000000000000}"/>
  <bookViews>
    <workbookView xWindow="-108" yWindow="-108" windowWidth="23256" windowHeight="12456" xr2:uid="{17771DF3-267A-441F-B175-930E7B91A0A5}"/>
  </bookViews>
  <sheets>
    <sheet name="QUESTION 1 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10" r:id="rId8"/>
  </sheets>
  <definedNames>
    <definedName name="_xlchart.v1.0" hidden="1">'QUESTION 2'!$T$1:$T$100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7" l="1"/>
  <c r="J8" i="3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" i="2"/>
  <c r="G12" i="1"/>
</calcChain>
</file>

<file path=xl/sharedStrings.xml><?xml version="1.0" encoding="utf-8"?>
<sst xmlns="http://schemas.openxmlformats.org/spreadsheetml/2006/main" count="54" uniqueCount="45">
  <si>
    <t>Q1.Simulate 30 rolls with =RANDBETWEEN(1,6). What is the probability of rolling a 3 exactly 5 times? (Hint: Use BINOM.DIST)</t>
  </si>
  <si>
    <t>Q2.Generate 100 values in Excel using the continuous uniform distribution RAND() and plot a histogram. Describe the shape of the distribution.</t>
  </si>
  <si>
    <t>Q3. A dataset has a mean of 50 and a standard deviation of 5. What percentage of values lie between 45 and 55 if the data follows a normal distribution?</t>
  </si>
  <si>
    <t>Q4.What is the concept of standardization (z-score), and why is it important in data analysis? Explain the formula and how standardization transforms a dataset.</t>
  </si>
  <si>
    <t>Q5. What is Kurtosis and their type? </t>
  </si>
  <si>
    <t>Q6. Explain why the uniform distribution is a good model for the outcome of rolling a fair die.</t>
  </si>
  <si>
    <t>Q7.Use Excel to compute the probability of getting at least 8 successes in 15 trials with success probability 0.5 .</t>
  </si>
  <si>
    <t>Q8.How does log transformation help in stabilizing variance and making data more normally distributed?</t>
  </si>
  <si>
    <t>SOLUTION:-</t>
  </si>
  <si>
    <t>Given</t>
  </si>
  <si>
    <t xml:space="preserve">Number of trials: </t>
  </si>
  <si>
    <t>(30 dice rolls)</t>
  </si>
  <si>
    <t>Probability of getting a 3 on one roll:</t>
  </si>
  <si>
    <t>FORMULA USED : =BINOM.DIST(5,30,1/6,FALSE)</t>
  </si>
  <si>
    <t>RESULT</t>
  </si>
  <si>
    <t>Using =RAND () IN Cell T1:T100</t>
  </si>
  <si>
    <t>Histogram :</t>
  </si>
  <si>
    <t>FOR :</t>
  </si>
  <si>
    <t>X = 45</t>
  </si>
  <si>
    <t>Z = 45 -50/5 = -1</t>
  </si>
  <si>
    <t>X = 55</t>
  </si>
  <si>
    <t>Z = 55 -50/5 = +1</t>
  </si>
  <si>
    <t>Formula: =NORM.DIST(55,50,5,TRUE)-NORM.DIST(45,50,5,TRUE)</t>
  </si>
  <si>
    <t>RESULT :</t>
  </si>
  <si>
    <t xml:space="preserve"> </t>
  </si>
  <si>
    <t xml:space="preserve">Standardization (z-score) is the process of putting different variables on the same scale.   </t>
  </si>
  <si>
    <t>FORMULA :</t>
  </si>
  <si>
    <t>Transformation : It shifts the mean to 0 and the standard deviation to 1.</t>
  </si>
  <si>
    <t>Kurtosis measures the "tailedness" of a distribution (how much data is in the peaks vs tails).</t>
  </si>
  <si>
    <t>TYPES :</t>
  </si>
  <si>
    <t>​Leptokurtic: Sharp peak, heavy tails (more outliers).</t>
  </si>
  <si>
    <t>​Platykurtic: Flat peak, thin tails (fewer outliers).</t>
  </si>
  <si>
    <t>​Mesokurtic: Normal distribution (Kurtosis ≈ 0).</t>
  </si>
  <si>
    <r>
      <t xml:space="preserve">A fair die is a perfect example of a </t>
    </r>
    <r>
      <rPr>
        <b/>
        <sz val="14"/>
        <color theme="1"/>
        <rFont val="Calibri"/>
        <family val="2"/>
        <scheme val="minor"/>
      </rPr>
      <t>Discrete Uniform Distribution</t>
    </r>
    <r>
      <rPr>
        <sz val="14"/>
        <color theme="1"/>
        <rFont val="Calibri"/>
        <family val="2"/>
        <scheme val="minor"/>
      </rPr>
      <t xml:space="preserve"> because every outcome {1,2,3,4,5,6} has exactly the same probability </t>
    </r>
    <r>
      <rPr>
        <b/>
        <sz val="14"/>
        <color theme="1"/>
        <rFont val="Calibri"/>
        <family val="2"/>
        <scheme val="minor"/>
      </rPr>
      <t>(1/6)</t>
    </r>
    <r>
      <rPr>
        <sz val="14"/>
        <color theme="1"/>
        <rFont val="Calibri"/>
        <family val="2"/>
        <scheme val="minor"/>
      </rPr>
      <t>.</t>
    </r>
  </si>
  <si>
    <t>Probability of at least 8 successes in 15 trials (p=0.5 assumed for "success" unless specified).</t>
  </si>
  <si>
    <t>​Formula: =1 - BINOM.DIST(7, 15, 0.5, TRUE)</t>
  </si>
  <si>
    <t>​                          ~50.00%</t>
  </si>
  <si>
    <t>It compresses high values and spreads out low values.</t>
  </si>
  <si>
    <t>​It stabilizes variance by making the standard deviation proportional to the mean, which helps "pull in" right-skewed data to look more like a Bell Curve.</t>
  </si>
  <si>
    <t>Formula: y' = LOG(y).</t>
  </si>
  <si>
    <t xml:space="preserve">Number of successes (rolling a 3)  : </t>
  </si>
  <si>
    <t>X = 5</t>
  </si>
  <si>
    <t>RESULT IN PERCENTAGE :</t>
  </si>
  <si>
    <t xml:space="preserve">   ~68.27% (Empirical Rule).</t>
  </si>
  <si>
    <r>
      <rPr>
        <b/>
        <sz val="14"/>
        <color theme="1"/>
        <rFont val="Calibri"/>
        <family val="2"/>
        <scheme val="minor"/>
      </rPr>
      <t>Shape :</t>
    </r>
    <r>
      <rPr>
        <sz val="14"/>
        <color theme="1"/>
        <rFont val="Calibri"/>
        <family val="2"/>
        <scheme val="minor"/>
      </rPr>
      <t xml:space="preserve"> The distribution is rectangular/flat.Every value between 0 and 1 has an equal probability of occuring.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</si>
</sst>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rgb="FFC0504D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4" fillId="0" borderId="0" xfId="0" applyFont="1" applyAlignment="1">
      <alignment vertical="center"/>
    </xf>
    <xf numFmtId="0" fontId="5" fillId="4" borderId="0" xfId="0" applyFont="1" applyFill="1"/>
    <xf numFmtId="0" fontId="0" fillId="5" borderId="0" xfId="0" applyFill="1"/>
    <xf numFmtId="0" fontId="0" fillId="6" borderId="0" xfId="0" applyFill="1"/>
    <xf numFmtId="0" fontId="6" fillId="0" borderId="0" xfId="0" applyFont="1"/>
    <xf numFmtId="0" fontId="1" fillId="7" borderId="0" xfId="0" applyFont="1" applyFill="1"/>
    <xf numFmtId="0" fontId="0" fillId="7" borderId="0" xfId="0" applyFill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4" borderId="0" xfId="0" applyFont="1" applyFill="1"/>
    <xf numFmtId="0" fontId="1" fillId="6" borderId="0" xfId="0" applyFont="1" applyFill="1"/>
    <xf numFmtId="0" fontId="5" fillId="5" borderId="0" xfId="0" applyFont="1" applyFill="1"/>
    <xf numFmtId="0" fontId="6" fillId="6" borderId="0" xfId="0" applyFont="1" applyFill="1"/>
    <xf numFmtId="0" fontId="8" fillId="5" borderId="0" xfId="0" applyFont="1" applyFill="1"/>
    <xf numFmtId="0" fontId="0" fillId="6" borderId="0" xfId="0" applyFill="1" applyAlignment="1">
      <alignment horizontal="center"/>
    </xf>
    <xf numFmtId="0" fontId="9" fillId="5" borderId="0" xfId="0" applyFont="1" applyFill="1" applyAlignment="1">
      <alignment vertical="center"/>
    </xf>
    <xf numFmtId="0" fontId="6" fillId="8" borderId="0" xfId="0" applyFont="1" applyFill="1"/>
    <xf numFmtId="0" fontId="4" fillId="9" borderId="0" xfId="0" applyFont="1" applyFill="1" applyAlignment="1">
      <alignment vertical="center"/>
    </xf>
    <xf numFmtId="0" fontId="4" fillId="10" borderId="0" xfId="0" applyFont="1" applyFill="1" applyAlignment="1">
      <alignment horizontal="left" vertical="center" indent="1"/>
    </xf>
    <xf numFmtId="0" fontId="1" fillId="10" borderId="0" xfId="0" applyFont="1" applyFill="1"/>
    <xf numFmtId="0" fontId="1" fillId="11" borderId="0" xfId="0" applyFont="1" applyFill="1"/>
    <xf numFmtId="0" fontId="3" fillId="5" borderId="0" xfId="0" applyFont="1" applyFill="1" applyAlignment="1">
      <alignment vertical="center"/>
    </xf>
    <xf numFmtId="0" fontId="3" fillId="5" borderId="0" xfId="0" applyFont="1" applyFill="1"/>
    <xf numFmtId="0" fontId="5" fillId="6" borderId="0" xfId="0" applyFont="1" applyFill="1"/>
    <xf numFmtId="0" fontId="8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71DD272E-D5ED-4D66-B96D-F718BFD03FA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5</xdr:row>
      <xdr:rowOff>121920</xdr:rowOff>
    </xdr:from>
    <xdr:to>
      <xdr:col>5</xdr:col>
      <xdr:colOff>434340</xdr:colOff>
      <xdr:row>7</xdr:row>
      <xdr:rowOff>99060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2DFFAA-3BC0-FD2B-47C6-884C97D8B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105156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7</xdr:row>
      <xdr:rowOff>3810</xdr:rowOff>
    </xdr:from>
    <xdr:to>
      <xdr:col>10</xdr:col>
      <xdr:colOff>571500</xdr:colOff>
      <xdr:row>23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B8FC701-33B9-0D18-77BF-9336032FCA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0" y="1314450"/>
              <a:ext cx="5440680" cy="3089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3</xdr:row>
      <xdr:rowOff>91440</xdr:rowOff>
    </xdr:from>
    <xdr:to>
      <xdr:col>3</xdr:col>
      <xdr:colOff>106680</xdr:colOff>
      <xdr:row>5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7A712-C309-ABC4-0C0C-359BE129A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701040"/>
          <a:ext cx="685800" cy="39624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44CC-7537-4515-9EFA-539B9F12F830}">
  <dimension ref="A1:O12"/>
  <sheetViews>
    <sheetView tabSelected="1" workbookViewId="0">
      <selection activeCell="J17" sqref="J17"/>
    </sheetView>
  </sheetViews>
  <sheetFormatPr defaultRowHeight="14.4" x14ac:dyDescent="0.3"/>
  <cols>
    <col min="1" max="1" width="11.33203125" customWidth="1"/>
  </cols>
  <sheetData>
    <row r="1" spans="1:15" ht="15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8</v>
      </c>
    </row>
    <row r="4" spans="1:15" x14ac:dyDescent="0.3">
      <c r="B4" s="24" t="s">
        <v>9</v>
      </c>
      <c r="C4" s="3"/>
      <c r="D4" s="3"/>
      <c r="E4" s="3"/>
      <c r="F4" s="3"/>
    </row>
    <row r="5" spans="1:15" x14ac:dyDescent="0.3">
      <c r="B5" s="25" t="s">
        <v>10</v>
      </c>
      <c r="C5" s="26"/>
      <c r="D5" s="26"/>
      <c r="E5" s="26"/>
      <c r="F5" s="26"/>
    </row>
    <row r="6" spans="1:15" x14ac:dyDescent="0.3">
      <c r="B6" s="25" t="s">
        <v>11</v>
      </c>
      <c r="C6" s="26"/>
      <c r="D6" s="26"/>
      <c r="E6" s="26"/>
      <c r="F6" s="26"/>
    </row>
    <row r="7" spans="1:15" x14ac:dyDescent="0.3">
      <c r="B7" s="25" t="s">
        <v>12</v>
      </c>
      <c r="C7" s="26"/>
      <c r="D7" s="26"/>
      <c r="E7" s="26"/>
      <c r="F7" s="26"/>
    </row>
    <row r="8" spans="1:15" x14ac:dyDescent="0.3">
      <c r="B8" s="25"/>
      <c r="C8" s="26"/>
      <c r="D8" s="26"/>
      <c r="E8" s="26"/>
      <c r="F8" s="26"/>
    </row>
    <row r="9" spans="1:15" x14ac:dyDescent="0.3">
      <c r="B9" s="25"/>
      <c r="C9" s="26"/>
      <c r="D9" s="26"/>
      <c r="E9" s="26"/>
      <c r="F9" s="26"/>
    </row>
    <row r="10" spans="1:15" x14ac:dyDescent="0.3">
      <c r="B10" s="25" t="s">
        <v>40</v>
      </c>
      <c r="C10" s="26"/>
      <c r="D10" s="26"/>
      <c r="E10" s="26"/>
      <c r="F10" s="26" t="s">
        <v>41</v>
      </c>
    </row>
    <row r="11" spans="1:15" x14ac:dyDescent="0.3">
      <c r="B11" s="3"/>
      <c r="C11" s="3"/>
      <c r="D11" s="3"/>
      <c r="E11" s="3"/>
      <c r="F11" s="3"/>
      <c r="G11" s="7" t="s">
        <v>14</v>
      </c>
    </row>
    <row r="12" spans="1:15" ht="18" x14ac:dyDescent="0.35">
      <c r="B12" s="27" t="s">
        <v>13</v>
      </c>
      <c r="C12" s="27"/>
      <c r="D12" s="27"/>
      <c r="E12" s="27"/>
      <c r="F12" s="27"/>
      <c r="G12" s="6">
        <f>_xlfn.BINOM.DIST(5,30,1/6,FALSE)</f>
        <v>0.19210813105163416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316D-6BDA-4D0D-9FFB-B93A7B424FC9}">
  <dimension ref="A1:T100"/>
  <sheetViews>
    <sheetView workbookViewId="0">
      <selection activeCell="B26" sqref="B26"/>
    </sheetView>
  </sheetViews>
  <sheetFormatPr defaultRowHeight="14.4" x14ac:dyDescent="0.3"/>
  <cols>
    <col min="1" max="1" width="10.77734375" customWidth="1"/>
    <col min="2" max="2" width="11.33203125" customWidth="1"/>
  </cols>
  <sheetData>
    <row r="1" spans="1:20" ht="15.6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T1" s="8">
        <f ca="1">RAND()</f>
        <v>0.45388640171462302</v>
      </c>
    </row>
    <row r="2" spans="1:20" x14ac:dyDescent="0.3">
      <c r="A2" s="4" t="s">
        <v>8</v>
      </c>
      <c r="T2" s="8">
        <f t="shared" ref="T2:T65" ca="1" si="0">RAND()</f>
        <v>0.60868294026489811</v>
      </c>
    </row>
    <row r="3" spans="1:20" x14ac:dyDescent="0.3">
      <c r="T3" s="8">
        <f t="shared" ca="1" si="0"/>
        <v>0.8085853770591942</v>
      </c>
    </row>
    <row r="4" spans="1:20" x14ac:dyDescent="0.3">
      <c r="B4" s="17" t="s">
        <v>15</v>
      </c>
      <c r="C4" s="17"/>
      <c r="D4" s="17"/>
      <c r="T4" s="8">
        <f t="shared" ca="1" si="0"/>
        <v>0.58487174748165394</v>
      </c>
    </row>
    <row r="5" spans="1:20" x14ac:dyDescent="0.3">
      <c r="T5" s="8">
        <f t="shared" ca="1" si="0"/>
        <v>0.94604835861995906</v>
      </c>
    </row>
    <row r="6" spans="1:20" ht="15.6" x14ac:dyDescent="0.3">
      <c r="B6" s="23" t="s">
        <v>16</v>
      </c>
      <c r="T6" s="8">
        <f t="shared" ca="1" si="0"/>
        <v>0.77378748801711561</v>
      </c>
    </row>
    <row r="7" spans="1:20" x14ac:dyDescent="0.3">
      <c r="T7" s="8">
        <f t="shared" ca="1" si="0"/>
        <v>0.56165350895587562</v>
      </c>
    </row>
    <row r="8" spans="1:20" x14ac:dyDescent="0.3">
      <c r="T8" s="8">
        <f t="shared" ca="1" si="0"/>
        <v>0.77096262815381245</v>
      </c>
    </row>
    <row r="9" spans="1:20" x14ac:dyDescent="0.3">
      <c r="T9" s="8">
        <f t="shared" ca="1" si="0"/>
        <v>7.116063194662392E-2</v>
      </c>
    </row>
    <row r="10" spans="1:20" x14ac:dyDescent="0.3">
      <c r="T10" s="8">
        <f t="shared" ca="1" si="0"/>
        <v>0.86317991536434069</v>
      </c>
    </row>
    <row r="11" spans="1:20" x14ac:dyDescent="0.3">
      <c r="T11" s="8">
        <f t="shared" ca="1" si="0"/>
        <v>4.1480799193541529E-2</v>
      </c>
    </row>
    <row r="12" spans="1:20" x14ac:dyDescent="0.3">
      <c r="T12" s="8">
        <f t="shared" ca="1" si="0"/>
        <v>0.532134668921867</v>
      </c>
    </row>
    <row r="13" spans="1:20" x14ac:dyDescent="0.3">
      <c r="T13" s="8">
        <f t="shared" ca="1" si="0"/>
        <v>5.0586244247821099E-3</v>
      </c>
    </row>
    <row r="14" spans="1:20" x14ac:dyDescent="0.3">
      <c r="T14" s="8">
        <f t="shared" ca="1" si="0"/>
        <v>0.55073439143503788</v>
      </c>
    </row>
    <row r="15" spans="1:20" x14ac:dyDescent="0.3">
      <c r="T15" s="8">
        <f t="shared" ca="1" si="0"/>
        <v>0.95024591977099215</v>
      </c>
    </row>
    <row r="16" spans="1:20" x14ac:dyDescent="0.3">
      <c r="T16" s="8">
        <f t="shared" ca="1" si="0"/>
        <v>0.63032356062149153</v>
      </c>
    </row>
    <row r="17" spans="2:20" x14ac:dyDescent="0.3">
      <c r="T17" s="8">
        <f t="shared" ca="1" si="0"/>
        <v>0.96232782123460203</v>
      </c>
    </row>
    <row r="18" spans="2:20" x14ac:dyDescent="0.3">
      <c r="T18" s="8">
        <f t="shared" ca="1" si="0"/>
        <v>0.48354725963887424</v>
      </c>
    </row>
    <row r="19" spans="2:20" x14ac:dyDescent="0.3">
      <c r="T19" s="8">
        <f t="shared" ca="1" si="0"/>
        <v>0.44120711405889612</v>
      </c>
    </row>
    <row r="20" spans="2:20" x14ac:dyDescent="0.3">
      <c r="T20" s="8">
        <f t="shared" ca="1" si="0"/>
        <v>0.97926473724985064</v>
      </c>
    </row>
    <row r="21" spans="2:20" x14ac:dyDescent="0.3">
      <c r="T21" s="8">
        <f t="shared" ca="1" si="0"/>
        <v>0.32815893542900332</v>
      </c>
    </row>
    <row r="22" spans="2:20" x14ac:dyDescent="0.3">
      <c r="T22" s="8">
        <f t="shared" ca="1" si="0"/>
        <v>4.2374133021636617E-2</v>
      </c>
    </row>
    <row r="23" spans="2:20" x14ac:dyDescent="0.3">
      <c r="T23" s="8">
        <f t="shared" ca="1" si="0"/>
        <v>3.0654036237496962E-2</v>
      </c>
    </row>
    <row r="24" spans="2:20" x14ac:dyDescent="0.3">
      <c r="T24" s="8">
        <f t="shared" ca="1" si="0"/>
        <v>9.3298166698055796E-2</v>
      </c>
    </row>
    <row r="25" spans="2:20" x14ac:dyDescent="0.3">
      <c r="T25" s="8">
        <f t="shared" ca="1" si="0"/>
        <v>0.56801656367083631</v>
      </c>
    </row>
    <row r="26" spans="2:20" ht="18" x14ac:dyDescent="0.35">
      <c r="B26" s="20" t="s">
        <v>44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7"/>
      <c r="T26" s="8">
        <f t="shared" ca="1" si="0"/>
        <v>0.62004253119580865</v>
      </c>
    </row>
    <row r="27" spans="2:20" x14ac:dyDescent="0.3">
      <c r="T27" s="8">
        <f t="shared" ca="1" si="0"/>
        <v>0.4800894099401295</v>
      </c>
    </row>
    <row r="28" spans="2:20" x14ac:dyDescent="0.3">
      <c r="T28" s="8">
        <f t="shared" ca="1" si="0"/>
        <v>0.30893135367958446</v>
      </c>
    </row>
    <row r="29" spans="2:20" x14ac:dyDescent="0.3">
      <c r="T29" s="8">
        <f t="shared" ca="1" si="0"/>
        <v>9.6581077294063622E-2</v>
      </c>
    </row>
    <row r="30" spans="2:20" x14ac:dyDescent="0.3">
      <c r="T30" s="8">
        <f t="shared" ca="1" si="0"/>
        <v>0.44391009576951068</v>
      </c>
    </row>
    <row r="31" spans="2:20" x14ac:dyDescent="0.3">
      <c r="T31" s="8">
        <f t="shared" ca="1" si="0"/>
        <v>0.31387200977549168</v>
      </c>
    </row>
    <row r="32" spans="2:20" x14ac:dyDescent="0.3">
      <c r="T32" s="8">
        <f t="shared" ca="1" si="0"/>
        <v>0.5662930588150803</v>
      </c>
    </row>
    <row r="33" spans="20:20" x14ac:dyDescent="0.3">
      <c r="T33" s="8">
        <f t="shared" ca="1" si="0"/>
        <v>0.41145268885657915</v>
      </c>
    </row>
    <row r="34" spans="20:20" x14ac:dyDescent="0.3">
      <c r="T34" s="8">
        <f t="shared" ca="1" si="0"/>
        <v>0.496145152226524</v>
      </c>
    </row>
    <row r="35" spans="20:20" x14ac:dyDescent="0.3">
      <c r="T35" s="8">
        <f t="shared" ca="1" si="0"/>
        <v>0.12228675538976119</v>
      </c>
    </row>
    <row r="36" spans="20:20" x14ac:dyDescent="0.3">
      <c r="T36" s="8">
        <f t="shared" ca="1" si="0"/>
        <v>0.21985761681059612</v>
      </c>
    </row>
    <row r="37" spans="20:20" x14ac:dyDescent="0.3">
      <c r="T37" s="8">
        <f t="shared" ca="1" si="0"/>
        <v>0.56396157243242351</v>
      </c>
    </row>
    <row r="38" spans="20:20" x14ac:dyDescent="0.3">
      <c r="T38" s="8">
        <f t="shared" ca="1" si="0"/>
        <v>0.2184843827733981</v>
      </c>
    </row>
    <row r="39" spans="20:20" x14ac:dyDescent="0.3">
      <c r="T39" s="8">
        <f t="shared" ca="1" si="0"/>
        <v>0.1805049878114855</v>
      </c>
    </row>
    <row r="40" spans="20:20" x14ac:dyDescent="0.3">
      <c r="T40" s="8">
        <f t="shared" ca="1" si="0"/>
        <v>0.70259847729412916</v>
      </c>
    </row>
    <row r="41" spans="20:20" x14ac:dyDescent="0.3">
      <c r="T41" s="8">
        <f t="shared" ca="1" si="0"/>
        <v>0.68227254152559336</v>
      </c>
    </row>
    <row r="42" spans="20:20" x14ac:dyDescent="0.3">
      <c r="T42" s="8">
        <f t="shared" ca="1" si="0"/>
        <v>0.61059673999215769</v>
      </c>
    </row>
    <row r="43" spans="20:20" x14ac:dyDescent="0.3">
      <c r="T43" s="8">
        <f t="shared" ca="1" si="0"/>
        <v>0.97753004546614308</v>
      </c>
    </row>
    <row r="44" spans="20:20" x14ac:dyDescent="0.3">
      <c r="T44" s="8">
        <f t="shared" ca="1" si="0"/>
        <v>0.47228023249186268</v>
      </c>
    </row>
    <row r="45" spans="20:20" x14ac:dyDescent="0.3">
      <c r="T45" s="8">
        <f t="shared" ca="1" si="0"/>
        <v>0.76937413003149691</v>
      </c>
    </row>
    <row r="46" spans="20:20" x14ac:dyDescent="0.3">
      <c r="T46" s="8">
        <f t="shared" ca="1" si="0"/>
        <v>0.59857434182700076</v>
      </c>
    </row>
    <row r="47" spans="20:20" x14ac:dyDescent="0.3">
      <c r="T47" s="8">
        <f t="shared" ca="1" si="0"/>
        <v>0.16870841549713045</v>
      </c>
    </row>
    <row r="48" spans="20:20" x14ac:dyDescent="0.3">
      <c r="T48" s="8">
        <f t="shared" ca="1" si="0"/>
        <v>0.66591931008976901</v>
      </c>
    </row>
    <row r="49" spans="20:20" x14ac:dyDescent="0.3">
      <c r="T49" s="8">
        <f t="shared" ca="1" si="0"/>
        <v>0.16296033257322384</v>
      </c>
    </row>
    <row r="50" spans="20:20" x14ac:dyDescent="0.3">
      <c r="T50" s="8">
        <f t="shared" ca="1" si="0"/>
        <v>3.0111968229886932E-2</v>
      </c>
    </row>
    <row r="51" spans="20:20" x14ac:dyDescent="0.3">
      <c r="T51" s="8">
        <f t="shared" ca="1" si="0"/>
        <v>0.55120365794366621</v>
      </c>
    </row>
    <row r="52" spans="20:20" x14ac:dyDescent="0.3">
      <c r="T52" s="8">
        <f t="shared" ca="1" si="0"/>
        <v>0.81170290917313892</v>
      </c>
    </row>
    <row r="53" spans="20:20" x14ac:dyDescent="0.3">
      <c r="T53" s="8">
        <f t="shared" ca="1" si="0"/>
        <v>0.32956954864552335</v>
      </c>
    </row>
    <row r="54" spans="20:20" x14ac:dyDescent="0.3">
      <c r="T54" s="8">
        <f t="shared" ca="1" si="0"/>
        <v>0.14183972462024685</v>
      </c>
    </row>
    <row r="55" spans="20:20" x14ac:dyDescent="0.3">
      <c r="T55" s="8">
        <f t="shared" ca="1" si="0"/>
        <v>0.96488131729954385</v>
      </c>
    </row>
    <row r="56" spans="20:20" x14ac:dyDescent="0.3">
      <c r="T56" s="8">
        <f t="shared" ca="1" si="0"/>
        <v>0.69205435626234368</v>
      </c>
    </row>
    <row r="57" spans="20:20" x14ac:dyDescent="0.3">
      <c r="T57" s="8">
        <f t="shared" ca="1" si="0"/>
        <v>9.4542416287991204E-2</v>
      </c>
    </row>
    <row r="58" spans="20:20" x14ac:dyDescent="0.3">
      <c r="T58" s="8">
        <f t="shared" ca="1" si="0"/>
        <v>0.2506805420428132</v>
      </c>
    </row>
    <row r="59" spans="20:20" x14ac:dyDescent="0.3">
      <c r="T59" s="8">
        <f t="shared" ca="1" si="0"/>
        <v>0.14756779334139891</v>
      </c>
    </row>
    <row r="60" spans="20:20" x14ac:dyDescent="0.3">
      <c r="T60" s="8">
        <f t="shared" ca="1" si="0"/>
        <v>0.54900530134076242</v>
      </c>
    </row>
    <row r="61" spans="20:20" x14ac:dyDescent="0.3">
      <c r="T61" s="8">
        <f t="shared" ca="1" si="0"/>
        <v>0.61191174195013953</v>
      </c>
    </row>
    <row r="62" spans="20:20" x14ac:dyDescent="0.3">
      <c r="T62" s="8">
        <f t="shared" ca="1" si="0"/>
        <v>4.5018675983921064E-4</v>
      </c>
    </row>
    <row r="63" spans="20:20" x14ac:dyDescent="0.3">
      <c r="T63" s="8">
        <f t="shared" ca="1" si="0"/>
        <v>0.83983306908261968</v>
      </c>
    </row>
    <row r="64" spans="20:20" x14ac:dyDescent="0.3">
      <c r="T64" s="8">
        <f t="shared" ca="1" si="0"/>
        <v>0.22616655344960335</v>
      </c>
    </row>
    <row r="65" spans="20:20" x14ac:dyDescent="0.3">
      <c r="T65" s="8">
        <f t="shared" ca="1" si="0"/>
        <v>0.54530501594173297</v>
      </c>
    </row>
    <row r="66" spans="20:20" x14ac:dyDescent="0.3">
      <c r="T66" s="8">
        <f t="shared" ref="T66:T100" ca="1" si="1">RAND()</f>
        <v>0.16743149938899027</v>
      </c>
    </row>
    <row r="67" spans="20:20" x14ac:dyDescent="0.3">
      <c r="T67" s="8">
        <f t="shared" ca="1" si="1"/>
        <v>0.50971640114231265</v>
      </c>
    </row>
    <row r="68" spans="20:20" x14ac:dyDescent="0.3">
      <c r="T68" s="8">
        <f t="shared" ca="1" si="1"/>
        <v>0.36588491433442027</v>
      </c>
    </row>
    <row r="69" spans="20:20" x14ac:dyDescent="0.3">
      <c r="T69" s="8">
        <f t="shared" ca="1" si="1"/>
        <v>0.20379813343469522</v>
      </c>
    </row>
    <row r="70" spans="20:20" x14ac:dyDescent="0.3">
      <c r="T70" s="8">
        <f t="shared" ca="1" si="1"/>
        <v>0.95768154807249706</v>
      </c>
    </row>
    <row r="71" spans="20:20" x14ac:dyDescent="0.3">
      <c r="T71" s="8">
        <f t="shared" ca="1" si="1"/>
        <v>1.6948567195221864E-3</v>
      </c>
    </row>
    <row r="72" spans="20:20" x14ac:dyDescent="0.3">
      <c r="T72" s="8">
        <f t="shared" ca="1" si="1"/>
        <v>0.16984088466205138</v>
      </c>
    </row>
    <row r="73" spans="20:20" x14ac:dyDescent="0.3">
      <c r="T73" s="8">
        <f t="shared" ca="1" si="1"/>
        <v>0.26878745922498037</v>
      </c>
    </row>
    <row r="74" spans="20:20" x14ac:dyDescent="0.3">
      <c r="T74" s="8">
        <f t="shared" ca="1" si="1"/>
        <v>0.47030766244028022</v>
      </c>
    </row>
    <row r="75" spans="20:20" x14ac:dyDescent="0.3">
      <c r="T75" s="8">
        <f t="shared" ca="1" si="1"/>
        <v>0.90677702075984978</v>
      </c>
    </row>
    <row r="76" spans="20:20" x14ac:dyDescent="0.3">
      <c r="T76" s="8">
        <f t="shared" ca="1" si="1"/>
        <v>4.1053534069906417E-2</v>
      </c>
    </row>
    <row r="77" spans="20:20" x14ac:dyDescent="0.3">
      <c r="T77" s="8">
        <f t="shared" ca="1" si="1"/>
        <v>5.9347773346051347E-2</v>
      </c>
    </row>
    <row r="78" spans="20:20" x14ac:dyDescent="0.3">
      <c r="T78" s="8">
        <f t="shared" ca="1" si="1"/>
        <v>0.38804412011638889</v>
      </c>
    </row>
    <row r="79" spans="20:20" x14ac:dyDescent="0.3">
      <c r="T79" s="8">
        <f t="shared" ca="1" si="1"/>
        <v>0.69013378015540805</v>
      </c>
    </row>
    <row r="80" spans="20:20" x14ac:dyDescent="0.3">
      <c r="T80" s="8">
        <f t="shared" ca="1" si="1"/>
        <v>0.71096359741192217</v>
      </c>
    </row>
    <row r="81" spans="20:20" x14ac:dyDescent="0.3">
      <c r="T81" s="8">
        <f t="shared" ca="1" si="1"/>
        <v>0.44055338700157509</v>
      </c>
    </row>
    <row r="82" spans="20:20" x14ac:dyDescent="0.3">
      <c r="T82" s="8">
        <f t="shared" ca="1" si="1"/>
        <v>0.62944229911557847</v>
      </c>
    </row>
    <row r="83" spans="20:20" x14ac:dyDescent="0.3">
      <c r="T83" s="8">
        <f t="shared" ca="1" si="1"/>
        <v>0.45688116307945104</v>
      </c>
    </row>
    <row r="84" spans="20:20" x14ac:dyDescent="0.3">
      <c r="T84" s="8">
        <f t="shared" ca="1" si="1"/>
        <v>0.41070941079915257</v>
      </c>
    </row>
    <row r="85" spans="20:20" x14ac:dyDescent="0.3">
      <c r="T85" s="8">
        <f t="shared" ca="1" si="1"/>
        <v>0.50006874330885331</v>
      </c>
    </row>
    <row r="86" spans="20:20" x14ac:dyDescent="0.3">
      <c r="T86" s="8">
        <f t="shared" ca="1" si="1"/>
        <v>0.32486125689533107</v>
      </c>
    </row>
    <row r="87" spans="20:20" x14ac:dyDescent="0.3">
      <c r="T87" s="8">
        <f t="shared" ca="1" si="1"/>
        <v>0.93357684956761766</v>
      </c>
    </row>
    <row r="88" spans="20:20" x14ac:dyDescent="0.3">
      <c r="T88" s="8">
        <f t="shared" ca="1" si="1"/>
        <v>0.62745358740130897</v>
      </c>
    </row>
    <row r="89" spans="20:20" x14ac:dyDescent="0.3">
      <c r="T89" s="8">
        <f t="shared" ca="1" si="1"/>
        <v>0.45040907952456466</v>
      </c>
    </row>
    <row r="90" spans="20:20" x14ac:dyDescent="0.3">
      <c r="T90" s="8">
        <f t="shared" ca="1" si="1"/>
        <v>0.77501937491651651</v>
      </c>
    </row>
    <row r="91" spans="20:20" x14ac:dyDescent="0.3">
      <c r="T91" s="8">
        <f t="shared" ca="1" si="1"/>
        <v>0.28522358794250524</v>
      </c>
    </row>
    <row r="92" spans="20:20" x14ac:dyDescent="0.3">
      <c r="T92" s="8">
        <f t="shared" ca="1" si="1"/>
        <v>0.11145030794999966</v>
      </c>
    </row>
    <row r="93" spans="20:20" x14ac:dyDescent="0.3">
      <c r="T93" s="8">
        <f t="shared" ca="1" si="1"/>
        <v>0.72081118151127999</v>
      </c>
    </row>
    <row r="94" spans="20:20" x14ac:dyDescent="0.3">
      <c r="T94" s="8">
        <f t="shared" ca="1" si="1"/>
        <v>0.97416854543121612</v>
      </c>
    </row>
    <row r="95" spans="20:20" x14ac:dyDescent="0.3">
      <c r="T95" s="8">
        <f t="shared" ca="1" si="1"/>
        <v>0.84014053090202967</v>
      </c>
    </row>
    <row r="96" spans="20:20" x14ac:dyDescent="0.3">
      <c r="T96" s="8">
        <f t="shared" ca="1" si="1"/>
        <v>0.73420124888767424</v>
      </c>
    </row>
    <row r="97" spans="20:20" x14ac:dyDescent="0.3">
      <c r="T97" s="8">
        <f t="shared" ca="1" si="1"/>
        <v>9.3888221316426157E-2</v>
      </c>
    </row>
    <row r="98" spans="20:20" x14ac:dyDescent="0.3">
      <c r="T98" s="8">
        <f t="shared" ca="1" si="1"/>
        <v>0.46823382026014326</v>
      </c>
    </row>
    <row r="99" spans="20:20" x14ac:dyDescent="0.3">
      <c r="T99" s="8">
        <f t="shared" ca="1" si="1"/>
        <v>0.73808044220612723</v>
      </c>
    </row>
    <row r="100" spans="20:20" x14ac:dyDescent="0.3">
      <c r="T100" s="8">
        <f t="shared" ca="1" si="1"/>
        <v>0.81149534512864296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4CA0-3766-451E-BDDE-3053D37EEB7C}">
  <dimension ref="A1:S9"/>
  <sheetViews>
    <sheetView workbookViewId="0">
      <selection activeCell="D6" sqref="D6"/>
    </sheetView>
  </sheetViews>
  <sheetFormatPr defaultRowHeight="14.4" x14ac:dyDescent="0.3"/>
  <cols>
    <col min="1" max="1" width="11.6640625" customWidth="1"/>
    <col min="3" max="3" width="16.88671875" customWidth="1"/>
    <col min="4" max="4" width="10.77734375" customWidth="1"/>
  </cols>
  <sheetData>
    <row r="1" spans="1:19" ht="15.6" x14ac:dyDescent="0.3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4" t="s">
        <v>8</v>
      </c>
    </row>
    <row r="4" spans="1:19" x14ac:dyDescent="0.3">
      <c r="B4" s="12" t="s">
        <v>17</v>
      </c>
      <c r="C4" s="13" t="s">
        <v>18</v>
      </c>
      <c r="D4" s="10" t="s">
        <v>19</v>
      </c>
      <c r="E4" s="11"/>
    </row>
    <row r="5" spans="1:19" x14ac:dyDescent="0.3">
      <c r="B5" s="5"/>
    </row>
    <row r="6" spans="1:19" x14ac:dyDescent="0.3">
      <c r="B6" s="12" t="s">
        <v>17</v>
      </c>
      <c r="C6" s="13" t="s">
        <v>20</v>
      </c>
      <c r="D6" s="10" t="s">
        <v>21</v>
      </c>
      <c r="E6" s="11"/>
    </row>
    <row r="7" spans="1:19" ht="15.6" x14ac:dyDescent="0.3">
      <c r="B7" s="5"/>
      <c r="J7" s="9" t="s">
        <v>23</v>
      </c>
    </row>
    <row r="8" spans="1:19" ht="15.6" x14ac:dyDescent="0.3">
      <c r="B8" s="28" t="s">
        <v>22</v>
      </c>
      <c r="C8" s="7"/>
      <c r="D8" s="7"/>
      <c r="E8" s="7"/>
      <c r="F8" s="7"/>
      <c r="G8" s="7"/>
      <c r="J8" s="16">
        <f>_xlfn.NORM.DIST(55,50,5,TRUE) - _xlfn.NORM.DIST(45,50,5,TRUE)</f>
        <v>0.68268949213708607</v>
      </c>
      <c r="K8" t="s">
        <v>24</v>
      </c>
    </row>
    <row r="9" spans="1:19" x14ac:dyDescent="0.3">
      <c r="B9" s="15" t="s">
        <v>42</v>
      </c>
      <c r="D9" s="29" t="s">
        <v>43</v>
      </c>
      <c r="E9" s="7"/>
      <c r="F9" s="7"/>
      <c r="G9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F5C1-8F8D-4ACB-A44E-8E829FAD58CA}">
  <dimension ref="A1:T7"/>
  <sheetViews>
    <sheetView workbookViewId="0">
      <selection activeCell="B7" sqref="B7"/>
    </sheetView>
  </sheetViews>
  <sheetFormatPr defaultRowHeight="14.4" x14ac:dyDescent="0.3"/>
  <cols>
    <col min="1" max="1" width="11" customWidth="1"/>
    <col min="2" max="2" width="11.88671875" customWidth="1"/>
  </cols>
  <sheetData>
    <row r="1" spans="1:20" ht="15.6" x14ac:dyDescent="0.3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4" t="s">
        <v>8</v>
      </c>
    </row>
    <row r="3" spans="1:20" ht="18" x14ac:dyDescent="0.35">
      <c r="B3" s="18" t="s">
        <v>25</v>
      </c>
      <c r="C3" s="18"/>
      <c r="D3" s="18"/>
      <c r="E3" s="18"/>
      <c r="F3" s="18"/>
      <c r="G3" s="18"/>
      <c r="H3" s="18"/>
      <c r="I3" s="18"/>
      <c r="J3" s="18"/>
      <c r="K3" s="18"/>
      <c r="L3" s="7"/>
    </row>
    <row r="4" spans="1:20" x14ac:dyDescent="0.3">
      <c r="B4" s="14"/>
    </row>
    <row r="5" spans="1:20" x14ac:dyDescent="0.3">
      <c r="B5" s="5" t="s">
        <v>26</v>
      </c>
    </row>
    <row r="6" spans="1:20" x14ac:dyDescent="0.3">
      <c r="B6" s="14"/>
    </row>
    <row r="7" spans="1:20" ht="18" x14ac:dyDescent="0.35">
      <c r="B7" s="30" t="s">
        <v>27</v>
      </c>
      <c r="C7" s="30"/>
      <c r="D7" s="30"/>
      <c r="E7" s="30"/>
      <c r="F7" s="30"/>
      <c r="G7" s="30"/>
      <c r="H7" s="30"/>
      <c r="I7" s="31"/>
      <c r="J7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281F-406F-47AF-925F-3E6D479A9EDF}">
  <dimension ref="A1:L9"/>
  <sheetViews>
    <sheetView workbookViewId="0">
      <selection activeCell="B4" sqref="B4"/>
    </sheetView>
  </sheetViews>
  <sheetFormatPr defaultRowHeight="14.4" x14ac:dyDescent="0.3"/>
  <cols>
    <col min="1" max="1" width="10.5546875" customWidth="1"/>
  </cols>
  <sheetData>
    <row r="1" spans="1:12" ht="15.6" x14ac:dyDescent="0.3">
      <c r="A1" s="1" t="s">
        <v>4</v>
      </c>
      <c r="B1" s="2"/>
      <c r="C1" s="2"/>
      <c r="D1" s="2"/>
      <c r="E1" s="2"/>
    </row>
    <row r="2" spans="1:12" x14ac:dyDescent="0.3">
      <c r="A2" s="4" t="s">
        <v>8</v>
      </c>
    </row>
    <row r="4" spans="1:12" ht="18" x14ac:dyDescent="0.35">
      <c r="B4" s="18" t="s">
        <v>28</v>
      </c>
      <c r="C4" s="7"/>
      <c r="D4" s="7"/>
      <c r="E4" s="7"/>
      <c r="F4" s="7"/>
      <c r="G4" s="7"/>
      <c r="H4" s="7"/>
      <c r="I4" s="7"/>
      <c r="J4" s="7"/>
      <c r="K4" s="7"/>
      <c r="L4" s="7"/>
    </row>
    <row r="6" spans="1:12" ht="15.6" x14ac:dyDescent="0.3">
      <c r="B6" s="16" t="s">
        <v>29</v>
      </c>
    </row>
    <row r="7" spans="1:12" ht="15.6" x14ac:dyDescent="0.3">
      <c r="C7" s="19" t="s">
        <v>30</v>
      </c>
      <c r="D7" s="19"/>
      <c r="E7" s="19"/>
      <c r="F7" s="19"/>
      <c r="G7" s="19"/>
      <c r="H7" s="8"/>
    </row>
    <row r="8" spans="1:12" ht="15.6" x14ac:dyDescent="0.3">
      <c r="C8" s="19" t="s">
        <v>31</v>
      </c>
      <c r="D8" s="19"/>
      <c r="E8" s="19"/>
      <c r="F8" s="19"/>
      <c r="G8" s="19"/>
      <c r="H8" s="8"/>
    </row>
    <row r="9" spans="1:12" ht="15.6" x14ac:dyDescent="0.3">
      <c r="C9" s="19" t="s">
        <v>32</v>
      </c>
      <c r="D9" s="19"/>
      <c r="E9" s="19"/>
      <c r="F9" s="19"/>
      <c r="G9" s="19"/>
      <c r="H9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72F9-78A5-4C59-813A-760B4CA77C87}">
  <dimension ref="A1:R4"/>
  <sheetViews>
    <sheetView workbookViewId="0">
      <selection activeCell="B4" sqref="B4"/>
    </sheetView>
  </sheetViews>
  <sheetFormatPr defaultRowHeight="14.4" x14ac:dyDescent="0.3"/>
  <cols>
    <col min="1" max="1" width="11.21875" customWidth="1"/>
  </cols>
  <sheetData>
    <row r="1" spans="1:18" ht="15.6" x14ac:dyDescent="0.3">
      <c r="A1" s="1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8" x14ac:dyDescent="0.3">
      <c r="A2" s="4" t="s">
        <v>8</v>
      </c>
    </row>
    <row r="4" spans="1:18" ht="18" x14ac:dyDescent="0.35">
      <c r="B4" s="20" t="s">
        <v>33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7"/>
      <c r="P4" s="7"/>
      <c r="Q4" s="7"/>
      <c r="R4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42FB-3087-4952-9419-11D925821D37}">
  <dimension ref="A1:N9"/>
  <sheetViews>
    <sheetView workbookViewId="0">
      <selection activeCell="B6" sqref="B6"/>
    </sheetView>
  </sheetViews>
  <sheetFormatPr defaultRowHeight="14.4" x14ac:dyDescent="0.3"/>
  <cols>
    <col min="1" max="1" width="10.88671875" customWidth="1"/>
    <col min="3" max="3" width="10.109375" customWidth="1"/>
  </cols>
  <sheetData>
    <row r="1" spans="1:14" ht="15.6" x14ac:dyDescent="0.3">
      <c r="A1" s="1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8</v>
      </c>
    </row>
    <row r="4" spans="1:14" ht="18" x14ac:dyDescent="0.35">
      <c r="B4" s="18" t="s">
        <v>34</v>
      </c>
      <c r="C4" s="18"/>
      <c r="D4" s="18"/>
      <c r="E4" s="18"/>
      <c r="F4" s="18"/>
      <c r="G4" s="18"/>
      <c r="H4" s="18"/>
      <c r="I4" s="18"/>
      <c r="J4" s="18"/>
      <c r="K4" s="7"/>
      <c r="L4" s="7"/>
    </row>
    <row r="5" spans="1:14" ht="18" x14ac:dyDescent="0.35">
      <c r="B5" s="18" t="s">
        <v>35</v>
      </c>
      <c r="C5" s="18"/>
      <c r="D5" s="18"/>
      <c r="E5" s="18"/>
      <c r="F5" s="18"/>
      <c r="G5" s="18"/>
      <c r="H5" s="18"/>
      <c r="I5" s="18"/>
      <c r="J5" s="18"/>
      <c r="K5" s="7"/>
      <c r="L5" s="7"/>
    </row>
    <row r="6" spans="1:14" ht="18" x14ac:dyDescent="0.35">
      <c r="B6" s="18" t="s">
        <v>36</v>
      </c>
      <c r="C6" s="18"/>
      <c r="D6" s="18"/>
      <c r="E6" s="18"/>
      <c r="F6" s="18"/>
      <c r="G6" s="18"/>
      <c r="H6" s="18"/>
      <c r="I6" s="18"/>
      <c r="J6" s="18"/>
      <c r="K6" s="7"/>
      <c r="L6" s="7"/>
    </row>
    <row r="8" spans="1:14" ht="18" x14ac:dyDescent="0.35">
      <c r="C8" s="6" t="s">
        <v>23</v>
      </c>
    </row>
    <row r="9" spans="1:14" x14ac:dyDescent="0.3">
      <c r="C9" s="21">
        <f>1 - _xlfn.BINOM.DIST(7,15,0.5,TRUE)</f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8CB2-9E10-4A35-BF38-883B2BD49D0E}">
  <dimension ref="A1:S8"/>
  <sheetViews>
    <sheetView workbookViewId="0">
      <selection activeCell="D7" sqref="D7"/>
    </sheetView>
  </sheetViews>
  <sheetFormatPr defaultRowHeight="14.4" x14ac:dyDescent="0.3"/>
  <cols>
    <col min="1" max="1" width="10.77734375" customWidth="1"/>
  </cols>
  <sheetData>
    <row r="1" spans="1:19" ht="15.6" x14ac:dyDescent="0.3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9" x14ac:dyDescent="0.3">
      <c r="A2" s="4" t="s">
        <v>8</v>
      </c>
    </row>
    <row r="4" spans="1:19" ht="18" x14ac:dyDescent="0.35">
      <c r="B4" s="18" t="s">
        <v>37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20"/>
      <c r="Q4" s="20"/>
      <c r="R4" s="7"/>
      <c r="S4" s="7"/>
    </row>
    <row r="5" spans="1:19" ht="18" x14ac:dyDescent="0.35">
      <c r="B5" s="18" t="s">
        <v>38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20"/>
      <c r="Q5" s="20"/>
      <c r="R5" s="7"/>
      <c r="S5" s="7"/>
    </row>
    <row r="6" spans="1:19" ht="18" x14ac:dyDescent="0.35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7"/>
      <c r="S6" s="7"/>
    </row>
    <row r="7" spans="1:19" ht="18" x14ac:dyDescent="0.35">
      <c r="B7" s="7"/>
      <c r="C7" s="7"/>
      <c r="D7" s="22" t="s">
        <v>39</v>
      </c>
      <c r="E7" s="18"/>
      <c r="F7" s="1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 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kisan.kr.02@gmail.com</dc:creator>
  <cp:lastModifiedBy>kisan.kr.02@gmail.com</cp:lastModifiedBy>
  <dcterms:created xsi:type="dcterms:W3CDTF">2026-02-03T13:28:43Z</dcterms:created>
  <dcterms:modified xsi:type="dcterms:W3CDTF">2026-02-03T15:26:50Z</dcterms:modified>
</cp:coreProperties>
</file>